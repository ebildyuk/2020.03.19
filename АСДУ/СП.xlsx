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СП" sheetId="1" r:id="rId4"/>
    <sheet name="Сигналы" sheetId="2" r:id="rId5"/>
    <sheet name="Шкафы" sheetId="3" r:id="rId6"/>
    <sheet name="moxa" sheetId="4" r:id="rId7"/>
  </sheets>
</workbook>
</file>

<file path=xl/sharedStrings.xml><?xml version="1.0" encoding="utf-8"?>
<sst xmlns="http://schemas.openxmlformats.org/spreadsheetml/2006/main" uniqueCount="99">
  <si>
    <t>Tаблица 1</t>
  </si>
  <si>
    <t>Процессорный модуль</t>
  </si>
  <si>
    <t>Beckhoff</t>
  </si>
  <si>
    <t>CX8090</t>
  </si>
  <si>
    <t>шт</t>
  </si>
  <si>
    <t>Модуль ввода/вывода 16-channel digital input terminal 24 V DC, filter 3.0 ms, type 3</t>
  </si>
  <si>
    <t>EL1809</t>
  </si>
  <si>
    <t>Модуль ввода/вывода 8-channel digital input terminal 24 V DC, filter 3.0 ms, 2-wire system</t>
  </si>
  <si>
    <t>EL1008</t>
  </si>
  <si>
    <t>Модуль ввода/вывода 4-channel digital input terminal 24 V DC, filter 3.0 ms, 3-wire system</t>
  </si>
  <si>
    <t>EL1004</t>
  </si>
  <si>
    <t>Модуль ввода/вывода 8-channel input terminal PT100 (RTD) for resistance sensors, 16 bit, 2-wire system</t>
  </si>
  <si>
    <t>EL3208</t>
  </si>
  <si>
    <t>Модуль ввода/вывода 4-channel input terminal PT100 (RTD) for resistance sensors, 16 bit, 2-wire system</t>
  </si>
  <si>
    <t>EL3204</t>
  </si>
  <si>
    <t>Модуль ввода/вывода 4-channel digital input terminal 24 V DC, filter 10 µs, 3-wire system</t>
  </si>
  <si>
    <t>EL1814</t>
  </si>
  <si>
    <t>Модуль ввода/вывода 16-channel digital input terminal 24 V DC, filter 10 µs, type 3</t>
  </si>
  <si>
    <t>EL1819</t>
  </si>
  <si>
    <t>Модуль Bus end cover for ELxxxx, cover for power and E-bus contacts, grey</t>
  </si>
  <si>
    <t>EL9011</t>
  </si>
  <si>
    <t>ПРЕОБРАЗОВАТЕЛЬ MGATE 1 портовый</t>
  </si>
  <si>
    <t>Moxa</t>
  </si>
  <si>
    <t>MB3180</t>
  </si>
  <si>
    <t>Сервер SCADA</t>
  </si>
  <si>
    <t>V2403-C3-T</t>
  </si>
  <si>
    <t>ПО SCADA</t>
  </si>
  <si>
    <t>Шкаф</t>
  </si>
  <si>
    <t>AE Щит с монтажной панелью ЩМП 400x500x210 мм IP66 (1045500)</t>
  </si>
  <si>
    <t>Rittal</t>
  </si>
  <si>
    <t>Коммутатор</t>
  </si>
  <si>
    <t>КОММУТАТОР EDS-2018-ML-2GTXSFP</t>
  </si>
  <si>
    <t>Dali Gateway</t>
  </si>
  <si>
    <t>INTELLIGENT ARLIGHT Контроллер DALI-LOGIC-x4 (230B, Ethernet)</t>
  </si>
  <si>
    <t>ARLIGHT</t>
  </si>
  <si>
    <t>Блок питания</t>
  </si>
  <si>
    <t>с функцией UPS на DIN-рейку</t>
  </si>
  <si>
    <t>meanwell</t>
  </si>
  <si>
    <t>DRC-100B</t>
  </si>
  <si>
    <t>АКБ</t>
  </si>
  <si>
    <t>Delta ltd</t>
  </si>
  <si>
    <t>DT1218</t>
  </si>
  <si>
    <t>DIN-рейка</t>
  </si>
  <si>
    <t>DKC</t>
  </si>
  <si>
    <t>м</t>
  </si>
  <si>
    <t>Короб</t>
  </si>
  <si>
    <t>Короб перфорированный RL6 60x60 серый QUADRO (01108RL)</t>
  </si>
  <si>
    <t>Клеммник</t>
  </si>
  <si>
    <t>Клеммник с быстрозажимным контактом</t>
  </si>
  <si>
    <t>Weidmuller</t>
  </si>
  <si>
    <t>ZDK 2.5</t>
  </si>
  <si>
    <t>Пластина замыкающая для клемм</t>
  </si>
  <si>
    <t>ZAP/TW ZDK2.5</t>
  </si>
  <si>
    <t>Концевые стопоры</t>
  </si>
  <si>
    <t>ZEW TS35</t>
  </si>
  <si>
    <t>Кабель eth</t>
  </si>
  <si>
    <t>Лоутокс КВПнг(C)-LSLTx-5e 4x2x0,52</t>
  </si>
  <si>
    <t>Спецкабель</t>
  </si>
  <si>
    <t>Кабель 485</t>
  </si>
  <si>
    <t>Лоутокс 21нг(А)-FRLSLTx 1x2x0,5</t>
  </si>
  <si>
    <t>труба гофрированная ПВХ, d16</t>
  </si>
  <si>
    <t>DI</t>
  </si>
  <si>
    <t>DO</t>
  </si>
  <si>
    <t>AI</t>
  </si>
  <si>
    <t>AO</t>
  </si>
  <si>
    <t>RTD</t>
  </si>
  <si>
    <t>ModBus RTU</t>
  </si>
  <si>
    <t>Ethernet</t>
  </si>
  <si>
    <t>M-GATE</t>
  </si>
  <si>
    <t>ТШ70.052</t>
  </si>
  <si>
    <t>1Х1</t>
  </si>
  <si>
    <t>ТШ70.015</t>
  </si>
  <si>
    <t>ТШ50.045</t>
  </si>
  <si>
    <t>ТШ10.081</t>
  </si>
  <si>
    <t>ТШ10.102</t>
  </si>
  <si>
    <t>ТШ01.005</t>
  </si>
  <si>
    <t>ТШ01.002</t>
  </si>
  <si>
    <t>ТШ02.008</t>
  </si>
  <si>
    <t>16+6</t>
  </si>
  <si>
    <t>ТШ02.003</t>
  </si>
  <si>
    <t>ТШ02.033а</t>
  </si>
  <si>
    <t>ТШ02.032</t>
  </si>
  <si>
    <t>12+4</t>
  </si>
  <si>
    <t>DI 16</t>
  </si>
  <si>
    <t>E1210</t>
  </si>
  <si>
    <t>DI 8</t>
  </si>
  <si>
    <t>E1212</t>
  </si>
  <si>
    <t>DI 4</t>
  </si>
  <si>
    <t>RTD 8</t>
  </si>
  <si>
    <t>E1260</t>
  </si>
  <si>
    <t>TRD 4</t>
  </si>
  <si>
    <t>#</t>
  </si>
  <si>
    <t>Наименование</t>
  </si>
  <si>
    <t>арт</t>
  </si>
  <si>
    <t>производитель</t>
  </si>
  <si>
    <t>ед</t>
  </si>
  <si>
    <t>кол-во</t>
  </si>
  <si>
    <t>Процессорный модуль DIN rail Industrial PC
– 32 bit, 400 MHz CPU
– 512 MB microSD flash memory (optionally 1 GB, 2 GB, 4 GB or 8 GB)
– 64 MB internal main memory
– protocol: real-time Ethernet, ADS UDP, ADS TCP, ModbusTCP, TCP/IP, UDP/IP, EAP (EtherCAT Automation Protocol)
– operating system: Microsoft Windows Embedded CE 6.0
– programming: TwinCAT 2 PLC 
– interfaces: 1 x Ethernet 10/100 Mbit/s (RJ45), 1 x USB device (behind the front flap)
– bus interface: 2 x Ethernet RJ45 (switched)
– I/O connection: E-bus (EtherCAT Terminals) or K-bus (Bus Terminals), automatic detection
– clock: internal battery-backed clock for time and date (battery behind the front flap, exchangeable)
– UPS: 1-second UPS (for 1 MB of persistent data)
– protection class: IP 20
– weight approx. 180 g
– dimensions (W x H x D) 64 x 100 x 73 mm</t>
  </si>
  <si>
    <t>MOXA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</si>
</sst>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4"/>
      <color indexed="8"/>
      <name val="Calibri"/>
    </font>
    <font>
      <sz val="11"/>
      <color indexed="8"/>
      <name val="Helvetica Neue"/>
    </font>
    <font>
      <b val="1"/>
      <sz val="11"/>
      <color indexed="13"/>
      <name val="Helvetica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3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/>
      <bottom/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/>
      <bottom style="thin">
        <color indexed="8"/>
      </bottom>
      <diagonal/>
    </border>
    <border>
      <left style="thin">
        <color indexed="15"/>
      </left>
      <right/>
      <top style="thin">
        <color indexed="15"/>
      </top>
      <bottom style="thin">
        <color indexed="8"/>
      </bottom>
      <diagonal/>
    </border>
    <border>
      <left/>
      <right/>
      <top style="thin">
        <color indexed="15"/>
      </top>
      <bottom style="thin">
        <color indexed="8"/>
      </bottom>
      <diagonal/>
    </border>
    <border>
      <left/>
      <right style="thin">
        <color indexed="15"/>
      </right>
      <top style="thin">
        <color indexed="15"/>
      </top>
      <bottom style="thin">
        <color indexed="8"/>
      </bottom>
      <diagonal/>
    </border>
    <border>
      <left style="thin">
        <color indexed="15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0"/>
      </left>
      <right style="thin">
        <color indexed="17"/>
      </right>
      <top style="thin">
        <color indexed="17"/>
      </top>
      <bottom style="thin">
        <color indexed="10"/>
      </bottom>
      <diagonal/>
    </border>
    <border>
      <left style="thin">
        <color indexed="17"/>
      </left>
      <right style="thin">
        <color indexed="10"/>
      </right>
      <top style="thin">
        <color indexed="17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7"/>
      </top>
      <bottom/>
      <diagonal/>
    </border>
    <border>
      <left style="thin">
        <color indexed="10"/>
      </left>
      <right style="thin">
        <color indexed="10"/>
      </right>
      <top style="thin">
        <color indexed="17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7"/>
      </right>
      <top style="thin">
        <color indexed="10"/>
      </top>
      <bottom style="thin">
        <color indexed="10"/>
      </bottom>
      <diagonal/>
    </border>
    <border>
      <left style="thin">
        <color indexed="17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2" applyNumberFormat="0" applyFont="1" applyFill="0" applyBorder="0" applyAlignment="1" applyProtection="0">
      <alignment horizontal="center" vertical="center"/>
    </xf>
    <xf numFmtId="0" fontId="0" fillId="2" borderId="1" applyNumberFormat="0" applyFont="1" applyFill="1" applyBorder="1" applyAlignment="1" applyProtection="0">
      <alignment vertical="bottom"/>
    </xf>
    <xf numFmtId="0" fontId="0" fillId="3" borderId="1" applyNumberFormat="0" applyFont="1" applyFill="1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horizontal="left"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3" borderId="1" applyNumberFormat="0" applyFont="1" applyFill="0" applyBorder="1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49" fontId="0" fillId="3" borderId="1" applyNumberFormat="1" applyFont="1" applyFill="1" applyBorder="1" applyAlignment="1" applyProtection="0">
      <alignment vertical="bottom"/>
    </xf>
    <xf numFmtId="49" fontId="3" borderId="1" applyNumberFormat="1" applyFont="1" applyFill="0" applyBorder="1" applyAlignment="1" applyProtection="0">
      <alignment vertical="center"/>
    </xf>
    <xf numFmtId="0" fontId="0" applyNumberFormat="1" applyFont="1" applyFill="0" applyBorder="0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0" fontId="0" fillId="4" borderId="2" applyNumberFormat="0" applyFont="1" applyFill="1" applyBorder="1" applyAlignment="1" applyProtection="0">
      <alignment vertical="bottom"/>
    </xf>
    <xf numFmtId="49" fontId="0" fillId="4" borderId="2" applyNumberFormat="1" applyFont="1" applyFill="1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fillId="4" borderId="2" applyNumberFormat="1" applyFont="1" applyFill="1" applyBorder="1" applyAlignment="1" applyProtection="0">
      <alignment vertical="bottom"/>
    </xf>
    <xf numFmtId="0" fontId="0" fillId="4" borderId="2" applyNumberFormat="0" applyFont="1" applyFill="1" applyBorder="1" applyAlignment="1" applyProtection="0">
      <alignment horizontal="center" vertical="bottom"/>
    </xf>
    <xf numFmtId="0" fontId="0" borderId="3" applyNumberFormat="0" applyFont="1" applyFill="0" applyBorder="1" applyAlignment="1" applyProtection="0">
      <alignment horizontal="center" vertical="bottom"/>
    </xf>
    <xf numFmtId="0" fontId="0" fillId="4" borderId="3" applyNumberFormat="0" applyFont="1" applyFill="1" applyBorder="1" applyAlignment="1" applyProtection="0">
      <alignment vertical="bottom"/>
    </xf>
    <xf numFmtId="49" fontId="0" fillId="4" borderId="3" applyNumberFormat="1" applyFont="1" applyFill="1" applyBorder="1" applyAlignment="1" applyProtection="0">
      <alignment vertical="bottom"/>
    </xf>
    <xf numFmtId="49" fontId="0" borderId="3" applyNumberFormat="1" applyFont="1" applyFill="0" applyBorder="1" applyAlignment="1" applyProtection="0">
      <alignment horizontal="center" vertical="bottom"/>
    </xf>
    <xf numFmtId="49" fontId="0" borderId="4" applyNumberFormat="1" applyFont="1" applyFill="0" applyBorder="1" applyAlignment="1" applyProtection="0">
      <alignment vertical="bottom"/>
    </xf>
    <xf numFmtId="0" fontId="0" fillId="4" borderId="4" applyNumberFormat="1" applyFont="1" applyFill="1" applyBorder="1" applyAlignment="1" applyProtection="0">
      <alignment vertical="bottom"/>
    </xf>
    <xf numFmtId="0" fontId="0" fillId="4" borderId="4" applyNumberFormat="0" applyFont="1" applyFill="1" applyBorder="1" applyAlignment="1" applyProtection="0">
      <alignment vertical="bottom"/>
    </xf>
    <xf numFmtId="0" fontId="0" fillId="4" borderId="5" applyNumberFormat="1" applyFont="1" applyFill="1" applyBorder="1" applyAlignment="1" applyProtection="0">
      <alignment vertical="bottom"/>
    </xf>
    <xf numFmtId="0" fontId="0" borderId="5" applyNumberFormat="1" applyFont="1" applyFill="0" applyBorder="1" applyAlignment="1" applyProtection="0">
      <alignment horizontal="center" vertical="bottom"/>
    </xf>
    <xf numFmtId="0" fontId="0" borderId="4" applyNumberFormat="1" applyFont="1" applyFill="0" applyBorder="1" applyAlignment="1" applyProtection="0">
      <alignment horizontal="center" vertical="bottom"/>
    </xf>
    <xf numFmtId="0" fontId="0" borderId="5" applyNumberFormat="0" applyFont="1" applyFill="0" applyBorder="1" applyAlignment="1" applyProtection="0">
      <alignment horizontal="center" vertical="bottom"/>
    </xf>
    <xf numFmtId="0" fontId="0" fillId="4" borderId="6" applyNumberFormat="0" applyFont="1" applyFill="1" applyBorder="1" applyAlignment="1" applyProtection="0">
      <alignment vertical="bottom"/>
    </xf>
    <xf numFmtId="0" fontId="0" fillId="4" borderId="7" applyNumberFormat="0" applyFont="1" applyFill="1" applyBorder="1" applyAlignment="1" applyProtection="0">
      <alignment vertical="bottom"/>
    </xf>
    <xf numFmtId="0" fontId="0" fillId="5" borderId="8" applyNumberFormat="1" applyFont="1" applyFill="1" applyBorder="1" applyAlignment="1" applyProtection="0">
      <alignment vertical="bottom"/>
    </xf>
    <xf numFmtId="0" fontId="0" fillId="4" borderId="9" applyNumberFormat="0" applyFont="1" applyFill="1" applyBorder="1" applyAlignment="1" applyProtection="0">
      <alignment vertical="bottom"/>
    </xf>
    <xf numFmtId="0" fontId="0" fillId="5" borderId="8" applyNumberFormat="1" applyFont="1" applyFill="1" applyBorder="1" applyAlignment="1" applyProtection="0">
      <alignment horizontal="center" vertical="bottom"/>
    </xf>
    <xf numFmtId="0" fontId="0" borderId="9" applyNumberFormat="0" applyFont="1" applyFill="0" applyBorder="1" applyAlignment="1" applyProtection="0">
      <alignment horizontal="center" vertical="bottom"/>
    </xf>
    <xf numFmtId="0" fontId="0" borderId="7" applyNumberFormat="0" applyFont="1" applyFill="0" applyBorder="1" applyAlignment="1" applyProtection="0">
      <alignment horizontal="center" vertical="bottom"/>
    </xf>
    <xf numFmtId="0" fontId="0" borderId="8" applyNumberFormat="1" applyFont="1" applyFill="0" applyBorder="1" applyAlignment="1" applyProtection="0">
      <alignment horizontal="center" vertical="bottom"/>
    </xf>
    <xf numFmtId="49" fontId="0" borderId="10" applyNumberFormat="1" applyFont="1" applyFill="0" applyBorder="1" applyAlignment="1" applyProtection="0">
      <alignment horizontal="center" vertical="bottom"/>
    </xf>
    <xf numFmtId="49" fontId="0" fillId="4" borderId="7" applyNumberFormat="1" applyFont="1" applyFill="1" applyBorder="1" applyAlignment="1" applyProtection="0">
      <alignment vertical="bottom"/>
    </xf>
    <xf numFmtId="0" fontId="0" fillId="4" borderId="11" applyNumberFormat="0" applyFont="1" applyFill="1" applyBorder="1" applyAlignment="1" applyProtection="0">
      <alignment vertical="bottom"/>
    </xf>
    <xf numFmtId="0" fontId="0" borderId="11" applyNumberFormat="0" applyFont="1" applyFill="0" applyBorder="1" applyAlignment="1" applyProtection="0">
      <alignment horizontal="center" vertical="bottom"/>
    </xf>
    <xf numFmtId="0" fontId="0" borderId="6" applyNumberFormat="0" applyFont="1" applyFill="0" applyBorder="1" applyAlignment="1" applyProtection="0">
      <alignment horizontal="center" vertical="bottom"/>
    </xf>
    <xf numFmtId="0" fontId="0" borderId="11" applyNumberFormat="1" applyFont="1" applyFill="0" applyBorder="1" applyAlignment="1" applyProtection="0">
      <alignment horizontal="center" vertical="bottom"/>
    </xf>
    <xf numFmtId="49" fontId="0" borderId="11" applyNumberFormat="1" applyFont="1" applyFill="0" applyBorder="1" applyAlignment="1" applyProtection="0">
      <alignment horizontal="center" vertical="bottom"/>
    </xf>
    <xf numFmtId="0" fontId="0" fillId="4" borderId="12" applyNumberFormat="0" applyFont="1" applyFill="1" applyBorder="1" applyAlignment="1" applyProtection="0">
      <alignment vertical="bottom"/>
    </xf>
    <xf numFmtId="0" fontId="0" borderId="2" applyNumberFormat="1" applyFont="1" applyFill="0" applyBorder="1" applyAlignment="1" applyProtection="0">
      <alignment horizontal="center" vertical="bottom"/>
    </xf>
    <xf numFmtId="49" fontId="0" borderId="2" applyNumberFormat="1" applyFont="1" applyFill="0" applyBorder="1" applyAlignment="1" applyProtection="0">
      <alignment horizontal="center" vertical="bottom"/>
    </xf>
    <xf numFmtId="0" fontId="0" borderId="6" applyNumberFormat="1" applyFont="1" applyFill="0" applyBorder="1" applyAlignment="1" applyProtection="0">
      <alignment horizontal="center" vertical="bottom"/>
    </xf>
    <xf numFmtId="49" fontId="0" borderId="6" applyNumberFormat="1" applyFont="1" applyFill="0" applyBorder="1" applyAlignment="1" applyProtection="0">
      <alignment horizontal="center" vertical="bottom"/>
    </xf>
    <xf numFmtId="0" fontId="0" borderId="12" applyNumberFormat="0" applyFont="1" applyFill="0" applyBorder="1" applyAlignment="1" applyProtection="0">
      <alignment horizontal="center" vertical="bottom"/>
    </xf>
    <xf numFmtId="0" fontId="0" borderId="2" applyNumberFormat="0" applyFont="1" applyFill="0" applyBorder="1" applyAlignment="1" applyProtection="0">
      <alignment horizontal="center" vertical="bottom"/>
    </xf>
    <xf numFmtId="0" fontId="0" borderId="10" applyNumberFormat="1" applyFont="1" applyFill="0" applyBorder="1" applyAlignment="1" applyProtection="0">
      <alignment horizontal="center" vertical="bottom"/>
    </xf>
    <xf numFmtId="49" fontId="0" borderId="12" applyNumberFormat="1" applyFont="1" applyFill="0" applyBorder="1" applyAlignment="1" applyProtection="0">
      <alignment horizontal="center" vertical="bottom"/>
    </xf>
    <xf numFmtId="0" fontId="0" borderId="13" applyNumberFormat="1" applyFont="1" applyFill="0" applyBorder="1" applyAlignment="1" applyProtection="0">
      <alignment horizontal="center" vertical="bottom"/>
    </xf>
    <xf numFmtId="49" fontId="0" borderId="3" applyNumberFormat="1" applyFont="1" applyFill="0" applyBorder="1" applyAlignment="1" applyProtection="0">
      <alignment vertical="bottom"/>
    </xf>
    <xf numFmtId="0" fontId="0" fillId="4" borderId="3" applyNumberFormat="1" applyFont="1" applyFill="1" applyBorder="1" applyAlignment="1" applyProtection="0">
      <alignment vertical="bottom"/>
    </xf>
    <xf numFmtId="0" fontId="0" borderId="14" applyNumberFormat="1" applyFont="1" applyFill="0" applyBorder="1" applyAlignment="1" applyProtection="0">
      <alignment horizontal="center" vertical="bottom"/>
    </xf>
    <xf numFmtId="0" fontId="0" borderId="3" applyNumberFormat="1" applyFont="1" applyFill="0" applyBorder="1" applyAlignment="1" applyProtection="0">
      <alignment horizontal="center" vertical="bottom"/>
    </xf>
    <xf numFmtId="0" fontId="0" borderId="14" applyNumberFormat="0" applyFont="1" applyFill="0" applyBorder="1" applyAlignment="1" applyProtection="0">
      <alignment horizontal="center" vertical="bottom"/>
    </xf>
    <xf numFmtId="0" fontId="0" applyNumberFormat="1" applyFont="1" applyFill="0" applyBorder="0" applyAlignment="1" applyProtection="0">
      <alignment vertical="bottom"/>
    </xf>
    <xf numFmtId="49" fontId="4" fillId="6" borderId="15" applyNumberFormat="1" applyFont="1" applyFill="1" applyBorder="1" applyAlignment="1" applyProtection="0">
      <alignment horizontal="center" vertical="center"/>
    </xf>
    <xf numFmtId="49" fontId="4" fillId="6" borderId="16" applyNumberFormat="1" applyFont="1" applyFill="1" applyBorder="1" applyAlignment="1" applyProtection="0">
      <alignment horizontal="center" vertical="center"/>
    </xf>
    <xf numFmtId="49" fontId="4" fillId="6" borderId="17" applyNumberFormat="1" applyFont="1" applyFill="1" applyBorder="1" applyAlignment="1" applyProtection="0">
      <alignment horizontal="center" vertical="center"/>
    </xf>
    <xf numFmtId="0" fontId="0" borderId="18" applyNumberFormat="0" applyFont="1" applyFill="0" applyBorder="1" applyAlignment="1" applyProtection="0">
      <alignment vertical="bottom"/>
    </xf>
    <xf numFmtId="0" fontId="0" fillId="7" borderId="19" applyNumberFormat="1" applyFont="1" applyFill="1" applyBorder="1" applyAlignment="1" applyProtection="0">
      <alignment vertical="bottom"/>
    </xf>
    <xf numFmtId="49" fontId="0" fillId="7" borderId="19" applyNumberFormat="1" applyFont="1" applyFill="1" applyBorder="1" applyAlignment="1" applyProtection="0">
      <alignment horizontal="left" vertical="bottom"/>
    </xf>
    <xf numFmtId="0" fontId="0" fillId="7" borderId="19" applyNumberFormat="0" applyFont="1" applyFill="1" applyBorder="1" applyAlignment="1" applyProtection="0">
      <alignment vertical="bottom"/>
    </xf>
    <xf numFmtId="0" fontId="0" borderId="20" applyNumberFormat="0" applyFont="1" applyFill="0" applyBorder="1" applyAlignment="1" applyProtection="0">
      <alignment vertical="bottom"/>
    </xf>
    <xf numFmtId="0" fontId="0" borderId="19" applyNumberFormat="1" applyFont="1" applyFill="0" applyBorder="1" applyAlignment="1" applyProtection="0">
      <alignment vertical="bottom"/>
    </xf>
    <xf numFmtId="49" fontId="0" borderId="19" applyNumberFormat="1" applyFont="1" applyFill="0" applyBorder="1" applyAlignment="1" applyProtection="0">
      <alignment horizontal="left" vertical="bottom"/>
    </xf>
    <xf numFmtId="49" fontId="0" borderId="19" applyNumberFormat="1" applyFont="1" applyFill="0" applyBorder="1" applyAlignment="1" applyProtection="0">
      <alignment horizontal="left" vertical="bottom" wrapText="1"/>
    </xf>
    <xf numFmtId="49" fontId="0" borderId="19" applyNumberFormat="1" applyFont="1" applyFill="0" applyBorder="1" applyAlignment="1" applyProtection="0">
      <alignment vertical="bottom"/>
    </xf>
    <xf numFmtId="0" fontId="0" borderId="19" applyNumberFormat="1" applyFont="1" applyFill="0" applyBorder="1" applyAlignment="1" applyProtection="0">
      <alignment horizontal="center" vertical="bottom"/>
    </xf>
    <xf numFmtId="49" fontId="0" borderId="19" applyNumberFormat="1" applyFont="1" applyFill="0" applyBorder="1" applyAlignment="1" applyProtection="0">
      <alignment horizontal="center" vertical="bottom"/>
    </xf>
    <xf numFmtId="0" fontId="0" fillId="7" borderId="19" applyNumberFormat="1" applyFont="1" applyFill="1" applyBorder="1" applyAlignment="1" applyProtection="0">
      <alignment horizontal="center" vertical="bottom"/>
    </xf>
    <xf numFmtId="0" fontId="0" fillId="7" borderId="19" applyNumberFormat="0" applyFont="1" applyFill="1" applyBorder="1" applyAlignment="1" applyProtection="0">
      <alignment horizontal="center" vertical="bottom"/>
    </xf>
    <xf numFmtId="0" fontId="0" borderId="4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21" applyNumberFormat="0" applyFont="1" applyFill="1" applyBorder="1" applyAlignment="1" applyProtection="0">
      <alignment vertical="bottom"/>
    </xf>
    <xf numFmtId="0" fontId="0" fillId="3" borderId="22" applyNumberFormat="0" applyFont="1" applyFill="1" applyBorder="1" applyAlignment="1" applyProtection="0">
      <alignment vertical="bottom"/>
    </xf>
    <xf numFmtId="0" fontId="0" borderId="23" applyNumberFormat="0" applyFont="1" applyFill="0" applyBorder="1" applyAlignment="1" applyProtection="0">
      <alignment vertical="bottom"/>
    </xf>
    <xf numFmtId="0" fontId="0" borderId="24" applyNumberFormat="0" applyFont="1" applyFill="0" applyBorder="1" applyAlignment="1" applyProtection="0">
      <alignment vertical="bottom"/>
    </xf>
    <xf numFmtId="0" fontId="0" borderId="25" applyNumberFormat="0" applyFont="1" applyFill="0" applyBorder="1" applyAlignment="1" applyProtection="0">
      <alignment vertical="bottom"/>
    </xf>
    <xf numFmtId="49" fontId="0" borderId="26" applyNumberFormat="1" applyFont="1" applyFill="0" applyBorder="1" applyAlignment="1" applyProtection="0">
      <alignment horizontal="left" vertical="bottom"/>
    </xf>
    <xf numFmtId="49" fontId="0" borderId="27" applyNumberFormat="1" applyFont="1" applyFill="0" applyBorder="1" applyAlignment="1" applyProtection="0">
      <alignment horizontal="center" vertical="bottom"/>
    </xf>
    <xf numFmtId="0" fontId="3" borderId="1" applyNumberFormat="1" applyFont="1" applyFill="0" applyBorder="1" applyAlignment="1" applyProtection="0">
      <alignment vertical="bottom"/>
    </xf>
    <xf numFmtId="49" fontId="0" borderId="28" applyNumberFormat="1" applyFont="1" applyFill="0" applyBorder="1" applyAlignment="1" applyProtection="0">
      <alignment horizontal="center" vertical="bottom"/>
    </xf>
    <xf numFmtId="49" fontId="0" borderId="1" applyNumberFormat="1" applyFont="1" applyFill="0" applyBorder="1" applyAlignment="1" applyProtection="0">
      <alignment horizontal="center" vertical="bottom"/>
    </xf>
    <xf numFmtId="49" fontId="0" borderId="29" applyNumberFormat="1" applyFont="1" applyFill="0" applyBorder="1" applyAlignment="1" applyProtection="0">
      <alignment horizontal="center" vertical="bottom"/>
    </xf>
    <xf numFmtId="49" fontId="0" borderId="30" applyNumberFormat="1" applyFont="1" applyFill="0" applyBorder="1" applyAlignment="1" applyProtection="0">
      <alignment horizontal="center" vertical="bottom"/>
    </xf>
    <xf numFmtId="0" fontId="0" fillId="3" borderId="31" applyNumberFormat="0" applyFont="1" applyFill="1" applyBorder="1" applyAlignment="1" applyProtection="0">
      <alignment vertical="bottom"/>
    </xf>
    <xf numFmtId="0" fontId="0" borderId="32" applyNumberFormat="0" applyFont="1" applyFill="0" applyBorder="1" applyAlignment="1" applyProtection="0">
      <alignment vertical="bottom"/>
    </xf>
    <xf numFmtId="0" fontId="0" borderId="28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dbdbdb"/>
      <rgbColor rgb="ffaaaaaa"/>
      <rgbColor rgb="ffffffff"/>
      <rgbColor rgb="ffd8d8d8"/>
      <rgbColor rgb="ff5b9bd5"/>
      <rgbColor rgb="ffb4c6e7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34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3" customHeight="1" outlineLevelRow="0" outlineLevelCol="0"/>
  <cols>
    <col min="1" max="1" width="16.3516" style="1" customWidth="1"/>
    <col min="2" max="2" width="83.4922" style="1" customWidth="1"/>
    <col min="3" max="6" width="16.3516" style="1" customWidth="1"/>
    <col min="7" max="256" width="16.3516" style="1" customWidth="1"/>
  </cols>
  <sheetData>
    <row r="1" ht="17" customHeight="1">
      <c r="A1" t="s" s="2">
        <v>0</v>
      </c>
      <c r="B1" s="2"/>
      <c r="C1" s="2"/>
      <c r="D1" s="2"/>
      <c r="E1" s="2"/>
      <c r="F1" s="2"/>
    </row>
    <row r="2" ht="15.35" customHeight="1">
      <c r="A2" s="3"/>
      <c r="B2" s="3"/>
      <c r="C2" s="3"/>
      <c r="D2" s="3"/>
      <c r="E2" s="3"/>
      <c r="F2" s="3"/>
    </row>
    <row r="3" ht="15.35" customHeight="1">
      <c r="A3" s="4"/>
      <c r="B3" s="5"/>
      <c r="C3" s="5"/>
      <c r="D3" s="5"/>
      <c r="E3" s="5"/>
      <c r="F3" s="5"/>
    </row>
    <row r="4" ht="15.35" customHeight="1">
      <c r="A4" s="4"/>
      <c r="B4" t="s" s="6">
        <v>1</v>
      </c>
      <c r="C4" t="s" s="7">
        <v>2</v>
      </c>
      <c r="D4" t="s" s="7">
        <v>3</v>
      </c>
      <c r="E4" t="s" s="7">
        <v>4</v>
      </c>
      <c r="F4" s="8">
        <v>11</v>
      </c>
    </row>
    <row r="5" ht="15.35" customHeight="1">
      <c r="A5" s="4"/>
      <c r="B5" t="s" s="6">
        <v>5</v>
      </c>
      <c r="C5" t="s" s="7">
        <v>2</v>
      </c>
      <c r="D5" t="s" s="7">
        <v>6</v>
      </c>
      <c r="E5" t="s" s="7">
        <v>4</v>
      </c>
      <c r="F5" s="8">
        <v>3</v>
      </c>
    </row>
    <row r="6" ht="15.35" customHeight="1">
      <c r="A6" s="4"/>
      <c r="B6" t="s" s="6">
        <v>7</v>
      </c>
      <c r="C6" t="s" s="7">
        <v>2</v>
      </c>
      <c r="D6" t="s" s="7">
        <v>8</v>
      </c>
      <c r="E6" t="s" s="7">
        <v>4</v>
      </c>
      <c r="F6" s="8">
        <v>2</v>
      </c>
    </row>
    <row r="7" ht="15.35" customHeight="1">
      <c r="A7" s="4"/>
      <c r="B7" t="s" s="6">
        <v>9</v>
      </c>
      <c r="C7" t="s" s="7">
        <v>2</v>
      </c>
      <c r="D7" t="s" s="7">
        <v>10</v>
      </c>
      <c r="E7" t="s" s="7">
        <v>4</v>
      </c>
      <c r="F7" s="8">
        <v>2</v>
      </c>
    </row>
    <row r="8" ht="15.35" customHeight="1">
      <c r="A8" s="4"/>
      <c r="B8" t="s" s="6">
        <v>11</v>
      </c>
      <c r="C8" t="s" s="7">
        <v>2</v>
      </c>
      <c r="D8" t="s" s="7">
        <v>12</v>
      </c>
      <c r="E8" t="s" s="7">
        <v>4</v>
      </c>
      <c r="F8" s="8">
        <v>2</v>
      </c>
    </row>
    <row r="9" ht="15.35" customHeight="1">
      <c r="A9" s="4"/>
      <c r="B9" t="s" s="6">
        <v>13</v>
      </c>
      <c r="C9" t="s" s="7">
        <v>2</v>
      </c>
      <c r="D9" t="s" s="7">
        <v>14</v>
      </c>
      <c r="E9" t="s" s="7">
        <v>4</v>
      </c>
      <c r="F9" s="8">
        <v>3</v>
      </c>
    </row>
    <row r="10" ht="15.35" customHeight="1">
      <c r="A10" s="4"/>
      <c r="B10" t="s" s="6">
        <v>15</v>
      </c>
      <c r="C10" t="s" s="7">
        <v>2</v>
      </c>
      <c r="D10" t="s" s="7">
        <v>16</v>
      </c>
      <c r="E10" t="s" s="7">
        <v>4</v>
      </c>
      <c r="F10" s="8">
        <v>1</v>
      </c>
    </row>
    <row r="11" ht="15.35" customHeight="1">
      <c r="A11" s="4"/>
      <c r="B11" t="s" s="6">
        <v>17</v>
      </c>
      <c r="C11" t="s" s="7">
        <v>2</v>
      </c>
      <c r="D11" t="s" s="7">
        <v>18</v>
      </c>
      <c r="E11" t="s" s="7">
        <v>4</v>
      </c>
      <c r="F11" s="8">
        <v>1</v>
      </c>
    </row>
    <row r="12" ht="15.35" customHeight="1">
      <c r="A12" s="4"/>
      <c r="B12" t="s" s="6">
        <v>19</v>
      </c>
      <c r="C12" t="s" s="7">
        <v>2</v>
      </c>
      <c r="D12" t="s" s="7">
        <v>20</v>
      </c>
      <c r="E12" t="s" s="7">
        <v>4</v>
      </c>
      <c r="F12" s="8">
        <v>11</v>
      </c>
    </row>
    <row r="13" ht="15.35" customHeight="1">
      <c r="A13" s="4"/>
      <c r="B13" t="s" s="6">
        <v>21</v>
      </c>
      <c r="C13" t="s" s="7">
        <v>22</v>
      </c>
      <c r="D13" t="s" s="7">
        <v>23</v>
      </c>
      <c r="E13" t="s" s="7">
        <v>4</v>
      </c>
      <c r="F13" s="8">
        <v>11</v>
      </c>
    </row>
    <row r="14" ht="15.35" customHeight="1">
      <c r="A14" s="4"/>
      <c r="B14" s="9"/>
      <c r="C14" s="5"/>
      <c r="D14" s="5"/>
      <c r="E14" s="5"/>
      <c r="F14" s="5"/>
    </row>
    <row r="15" ht="15.35" customHeight="1">
      <c r="A15" s="4"/>
      <c r="B15" t="s" s="10">
        <v>24</v>
      </c>
      <c r="C15" t="s" s="7">
        <v>22</v>
      </c>
      <c r="D15" t="s" s="10">
        <v>25</v>
      </c>
      <c r="E15" t="s" s="7">
        <v>4</v>
      </c>
      <c r="F15" s="8">
        <v>1</v>
      </c>
    </row>
    <row r="16" ht="15.35" customHeight="1">
      <c r="A16" s="4"/>
      <c r="B16" t="s" s="10">
        <v>26</v>
      </c>
      <c r="C16" s="5"/>
      <c r="D16" s="5"/>
      <c r="E16" t="s" s="7">
        <v>4</v>
      </c>
      <c r="F16" s="8">
        <v>1</v>
      </c>
    </row>
    <row r="17" ht="15.35" customHeight="1">
      <c r="A17" s="4"/>
      <c r="B17" s="9"/>
      <c r="C17" s="5"/>
      <c r="D17" s="5"/>
      <c r="E17" s="5"/>
      <c r="F17" s="5"/>
    </row>
    <row r="18" ht="15.35" customHeight="1">
      <c r="A18" t="s" s="11">
        <v>27</v>
      </c>
      <c r="B18" t="s" s="10">
        <v>28</v>
      </c>
      <c r="C18" t="s" s="7">
        <v>29</v>
      </c>
      <c r="D18" s="5"/>
      <c r="E18" t="s" s="7">
        <v>4</v>
      </c>
      <c r="F18" s="8">
        <v>11</v>
      </c>
    </row>
    <row r="19" ht="15.35" customHeight="1">
      <c r="A19" t="s" s="11">
        <v>30</v>
      </c>
      <c r="B19" t="s" s="10">
        <v>31</v>
      </c>
      <c r="C19" t="s" s="7">
        <v>22</v>
      </c>
      <c r="D19" s="5"/>
      <c r="E19" t="s" s="7">
        <v>4</v>
      </c>
      <c r="F19" s="8">
        <v>1</v>
      </c>
    </row>
    <row r="20" ht="15.35" customHeight="1">
      <c r="A20" s="4"/>
      <c r="B20" s="9"/>
      <c r="C20" s="9"/>
      <c r="D20" s="9"/>
      <c r="E20" s="5"/>
      <c r="F20" s="5"/>
    </row>
    <row r="21" ht="15.35" customHeight="1">
      <c r="A21" t="s" s="11">
        <v>32</v>
      </c>
      <c r="B21" t="s" s="10">
        <v>33</v>
      </c>
      <c r="C21" t="s" s="10">
        <v>34</v>
      </c>
      <c r="D21" s="9"/>
      <c r="E21" t="s" s="7">
        <v>4</v>
      </c>
      <c r="F21" s="8">
        <v>8</v>
      </c>
    </row>
    <row r="22" ht="15.35" customHeight="1">
      <c r="A22" t="s" s="11">
        <v>35</v>
      </c>
      <c r="B22" t="s" s="10">
        <v>36</v>
      </c>
      <c r="C22" t="s" s="10">
        <v>37</v>
      </c>
      <c r="D22" t="s" s="10">
        <v>38</v>
      </c>
      <c r="E22" t="s" s="7">
        <v>4</v>
      </c>
      <c r="F22" s="8">
        <v>11</v>
      </c>
    </row>
    <row r="23" ht="15.35" customHeight="1">
      <c r="A23" t="s" s="11">
        <v>39</v>
      </c>
      <c r="B23" s="9"/>
      <c r="C23" t="s" s="10">
        <v>40</v>
      </c>
      <c r="D23" t="s" s="10">
        <v>41</v>
      </c>
      <c r="E23" t="s" s="7">
        <v>4</v>
      </c>
      <c r="F23" s="8">
        <v>22</v>
      </c>
    </row>
    <row r="24" ht="15.35" customHeight="1">
      <c r="A24" t="s" s="11">
        <v>42</v>
      </c>
      <c r="B24" t="s" s="7">
        <v>42</v>
      </c>
      <c r="C24" t="s" s="7">
        <v>43</v>
      </c>
      <c r="D24" s="5"/>
      <c r="E24" t="s" s="7">
        <v>44</v>
      </c>
      <c r="F24" s="8">
        <v>11</v>
      </c>
    </row>
    <row r="25" ht="15.35" customHeight="1">
      <c r="A25" t="s" s="11">
        <v>45</v>
      </c>
      <c r="B25" t="s" s="10">
        <v>46</v>
      </c>
      <c r="C25" t="s" s="7">
        <v>43</v>
      </c>
      <c r="D25" s="5"/>
      <c r="E25" t="s" s="7">
        <v>44</v>
      </c>
      <c r="F25" s="8">
        <v>22</v>
      </c>
    </row>
    <row r="26" ht="15.35" customHeight="1">
      <c r="A26" s="4"/>
      <c r="B26" s="5"/>
      <c r="C26" s="5"/>
      <c r="D26" s="5"/>
      <c r="E26" s="5"/>
      <c r="F26" s="5"/>
    </row>
    <row r="27" ht="15.35" customHeight="1">
      <c r="A27" t="s" s="11">
        <v>47</v>
      </c>
      <c r="B27" t="s" s="12">
        <v>48</v>
      </c>
      <c r="C27" t="s" s="12">
        <v>49</v>
      </c>
      <c r="D27" t="s" s="12">
        <v>50</v>
      </c>
      <c r="E27" t="s" s="7">
        <v>4</v>
      </c>
      <c r="F27" s="8">
        <v>300</v>
      </c>
    </row>
    <row r="28" ht="15.35" customHeight="1">
      <c r="A28" s="4"/>
      <c r="B28" t="s" s="12">
        <v>51</v>
      </c>
      <c r="C28" t="s" s="12">
        <v>49</v>
      </c>
      <c r="D28" t="s" s="12">
        <v>52</v>
      </c>
      <c r="E28" t="s" s="7">
        <v>4</v>
      </c>
      <c r="F28" s="8">
        <v>30</v>
      </c>
    </row>
    <row r="29" ht="15.35" customHeight="1">
      <c r="A29" s="4"/>
      <c r="B29" t="s" s="12">
        <v>53</v>
      </c>
      <c r="C29" t="s" s="12">
        <v>49</v>
      </c>
      <c r="D29" t="s" s="12">
        <v>54</v>
      </c>
      <c r="E29" t="s" s="7">
        <v>4</v>
      </c>
      <c r="F29" s="8">
        <v>30</v>
      </c>
    </row>
    <row r="30" ht="15.35" customHeight="1">
      <c r="A30" t="s" s="11">
        <v>55</v>
      </c>
      <c r="B30" t="s" s="10">
        <v>56</v>
      </c>
      <c r="C30" t="s" s="10">
        <v>57</v>
      </c>
      <c r="D30" s="9"/>
      <c r="E30" t="s" s="7">
        <v>44</v>
      </c>
      <c r="F30" s="8">
        <v>900</v>
      </c>
    </row>
    <row r="31" ht="15.35" customHeight="1">
      <c r="A31" t="s" s="11">
        <v>58</v>
      </c>
      <c r="B31" t="s" s="10">
        <v>59</v>
      </c>
      <c r="C31" t="s" s="10">
        <v>57</v>
      </c>
      <c r="D31" s="5"/>
      <c r="E31" t="s" s="7">
        <v>44</v>
      </c>
      <c r="F31" s="8">
        <v>2000</v>
      </c>
    </row>
    <row r="32" ht="15.35" customHeight="1">
      <c r="A32" s="4"/>
      <c r="B32" t="s" s="7">
        <v>60</v>
      </c>
      <c r="C32" t="s" s="7">
        <v>43</v>
      </c>
      <c r="D32" s="5"/>
      <c r="E32" t="s" s="7">
        <v>44</v>
      </c>
      <c r="F32" s="8">
        <v>250</v>
      </c>
    </row>
    <row r="33" ht="15.35" customHeight="1">
      <c r="A33" s="4"/>
      <c r="B33" s="5"/>
      <c r="C33" s="5"/>
      <c r="D33" s="5"/>
      <c r="E33" s="5"/>
      <c r="F33" s="5"/>
    </row>
    <row r="34" ht="15.35" customHeight="1">
      <c r="A34" s="4"/>
      <c r="B34" s="5"/>
      <c r="C34" s="5"/>
      <c r="D34" s="5"/>
      <c r="E34" s="5"/>
      <c r="F34" s="5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P24"/>
  <sheetViews>
    <sheetView workbookViewId="0" showGridLines="0" defaultGridColor="1"/>
  </sheetViews>
  <sheetFormatPr defaultColWidth="8.83333" defaultRowHeight="15" customHeight="1" outlineLevelRow="0" outlineLevelCol="0"/>
  <cols>
    <col min="1" max="1" width="20.3516" style="13" customWidth="1"/>
    <col min="2" max="16" width="11.5" style="13" customWidth="1"/>
    <col min="17" max="256" width="8.85156" style="13" customWidth="1"/>
  </cols>
  <sheetData>
    <row r="1" ht="16" customHeight="1">
      <c r="A1" t="s" s="14">
        <v>27</v>
      </c>
      <c r="B1" s="15"/>
      <c r="C1" t="s" s="16">
        <v>61</v>
      </c>
      <c r="D1" t="s" s="16">
        <v>62</v>
      </c>
      <c r="E1" t="s" s="16">
        <v>63</v>
      </c>
      <c r="F1" t="s" s="16">
        <v>64</v>
      </c>
      <c r="G1" t="s" s="16">
        <v>65</v>
      </c>
      <c r="H1" t="s" s="16">
        <v>66</v>
      </c>
      <c r="I1" t="s" s="16">
        <v>67</v>
      </c>
      <c r="J1" t="s" s="16">
        <v>68</v>
      </c>
      <c r="K1" s="17"/>
      <c r="L1" s="17"/>
      <c r="M1" s="17"/>
      <c r="N1" s="17"/>
      <c r="O1" s="17"/>
      <c r="P1" s="17"/>
    </row>
    <row r="2" ht="16" customHeight="1">
      <c r="A2" t="s" s="14">
        <v>69</v>
      </c>
      <c r="B2" s="15"/>
      <c r="C2" s="18">
        <v>8</v>
      </c>
      <c r="D2" s="15"/>
      <c r="E2" s="15"/>
      <c r="F2" s="15"/>
      <c r="G2" s="18">
        <v>8</v>
      </c>
      <c r="H2" s="15"/>
      <c r="I2" s="18">
        <v>1</v>
      </c>
      <c r="J2" t="s" s="16">
        <v>70</v>
      </c>
      <c r="K2" s="17"/>
      <c r="L2" s="17"/>
      <c r="M2" s="17"/>
      <c r="N2" s="17"/>
      <c r="O2" s="17"/>
      <c r="P2" s="17"/>
    </row>
    <row r="3" ht="16" customHeight="1">
      <c r="A3" t="s" s="14">
        <v>71</v>
      </c>
      <c r="B3" s="15"/>
      <c r="C3" s="18">
        <v>8</v>
      </c>
      <c r="D3" s="15"/>
      <c r="E3" s="15"/>
      <c r="F3" s="15"/>
      <c r="G3" s="18">
        <v>8</v>
      </c>
      <c r="H3" s="15"/>
      <c r="I3" s="18">
        <v>1</v>
      </c>
      <c r="J3" t="s" s="16">
        <v>70</v>
      </c>
      <c r="K3" s="17"/>
      <c r="L3" s="17"/>
      <c r="M3" s="17"/>
      <c r="N3" s="17"/>
      <c r="O3" s="17"/>
      <c r="P3" s="17"/>
    </row>
    <row r="4" ht="16" customHeight="1">
      <c r="A4" t="s" s="14">
        <v>72</v>
      </c>
      <c r="B4" s="15"/>
      <c r="C4" s="15"/>
      <c r="D4" s="15"/>
      <c r="E4" s="15"/>
      <c r="F4" s="15"/>
      <c r="G4" s="15"/>
      <c r="H4" s="15"/>
      <c r="I4" s="15"/>
      <c r="J4" t="s" s="16">
        <v>70</v>
      </c>
      <c r="K4" s="17"/>
      <c r="L4" s="17"/>
      <c r="M4" s="17"/>
      <c r="N4" s="17"/>
      <c r="O4" s="17"/>
      <c r="P4" s="17"/>
    </row>
    <row r="5" ht="16" customHeight="1">
      <c r="A5" t="s" s="14">
        <v>73</v>
      </c>
      <c r="B5" s="15"/>
      <c r="C5" s="15"/>
      <c r="D5" s="15"/>
      <c r="E5" s="15"/>
      <c r="F5" s="15"/>
      <c r="G5" s="15"/>
      <c r="H5" s="15"/>
      <c r="I5" s="15"/>
      <c r="J5" t="s" s="16">
        <v>70</v>
      </c>
      <c r="K5" s="17"/>
      <c r="L5" s="17"/>
      <c r="M5" s="17"/>
      <c r="N5" s="17"/>
      <c r="O5" s="17"/>
      <c r="P5" s="17"/>
    </row>
    <row r="6" ht="16" customHeight="1">
      <c r="A6" t="s" s="14">
        <v>74</v>
      </c>
      <c r="B6" s="15"/>
      <c r="C6" s="18">
        <v>10</v>
      </c>
      <c r="D6" s="15"/>
      <c r="E6" s="15"/>
      <c r="F6" s="15"/>
      <c r="G6" s="18">
        <v>4</v>
      </c>
      <c r="H6" s="15"/>
      <c r="I6" s="15"/>
      <c r="J6" t="s" s="16">
        <v>70</v>
      </c>
      <c r="K6" s="17"/>
      <c r="L6" s="17"/>
      <c r="M6" s="17"/>
      <c r="N6" s="17"/>
      <c r="O6" s="17"/>
      <c r="P6" s="17"/>
    </row>
    <row r="7" ht="16" customHeight="1">
      <c r="A7" t="s" s="14">
        <v>75</v>
      </c>
      <c r="B7" s="15"/>
      <c r="C7" s="15"/>
      <c r="D7" s="15"/>
      <c r="E7" s="15"/>
      <c r="F7" s="15"/>
      <c r="G7" s="15"/>
      <c r="H7" s="15"/>
      <c r="I7" s="15"/>
      <c r="J7" t="s" s="16">
        <v>70</v>
      </c>
      <c r="K7" s="17"/>
      <c r="L7" s="17"/>
      <c r="M7" s="17"/>
      <c r="N7" s="17"/>
      <c r="O7" s="17"/>
      <c r="P7" s="17"/>
    </row>
    <row r="8" ht="16" customHeight="1">
      <c r="A8" t="s" s="14">
        <v>76</v>
      </c>
      <c r="B8" s="15"/>
      <c r="C8" s="15"/>
      <c r="D8" s="15"/>
      <c r="E8" s="15"/>
      <c r="F8" s="15"/>
      <c r="G8" s="15"/>
      <c r="H8" s="15"/>
      <c r="I8" s="15"/>
      <c r="J8" t="s" s="16">
        <v>70</v>
      </c>
      <c r="K8" s="17"/>
      <c r="L8" s="17"/>
      <c r="M8" s="17"/>
      <c r="N8" s="17"/>
      <c r="O8" s="17"/>
      <c r="P8" s="17"/>
    </row>
    <row r="9" ht="16" customHeight="1">
      <c r="A9" t="s" s="14">
        <v>77</v>
      </c>
      <c r="B9" s="15"/>
      <c r="C9" t="s" s="16">
        <v>78</v>
      </c>
      <c r="D9" s="15"/>
      <c r="E9" s="15"/>
      <c r="F9" s="15"/>
      <c r="G9" s="18">
        <v>4</v>
      </c>
      <c r="H9" s="15"/>
      <c r="I9" s="15"/>
      <c r="J9" t="s" s="16">
        <v>70</v>
      </c>
      <c r="K9" s="17"/>
      <c r="L9" s="17"/>
      <c r="M9" s="17"/>
      <c r="N9" s="17"/>
      <c r="O9" s="17"/>
      <c r="P9" s="17"/>
    </row>
    <row r="10" ht="16" customHeight="1">
      <c r="A10" t="s" s="14">
        <v>79</v>
      </c>
      <c r="B10" s="15"/>
      <c r="C10" s="18">
        <v>4</v>
      </c>
      <c r="D10" s="15"/>
      <c r="E10" s="15"/>
      <c r="F10" s="15"/>
      <c r="G10" s="15"/>
      <c r="H10" s="15"/>
      <c r="I10" s="15"/>
      <c r="J10" t="s" s="16">
        <v>70</v>
      </c>
      <c r="K10" s="17"/>
      <c r="L10" s="17"/>
      <c r="M10" s="17"/>
      <c r="N10" s="17"/>
      <c r="O10" s="17"/>
      <c r="P10" s="17"/>
    </row>
    <row r="11" ht="16" customHeight="1">
      <c r="A11" t="s" s="14">
        <v>80</v>
      </c>
      <c r="B11" s="15"/>
      <c r="C11" s="18">
        <v>4</v>
      </c>
      <c r="D11" s="15"/>
      <c r="E11" s="15"/>
      <c r="F11" s="15"/>
      <c r="G11" s="15"/>
      <c r="H11" s="15"/>
      <c r="I11" s="15"/>
      <c r="J11" t="s" s="16">
        <v>70</v>
      </c>
      <c r="K11" s="17"/>
      <c r="L11" s="17"/>
      <c r="M11" s="17"/>
      <c r="N11" s="17"/>
      <c r="O11" s="17"/>
      <c r="P11" s="17"/>
    </row>
    <row r="12" ht="16" customHeight="1">
      <c r="A12" t="s" s="14">
        <v>81</v>
      </c>
      <c r="B12" s="15"/>
      <c r="C12" t="s" s="16">
        <v>82</v>
      </c>
      <c r="D12" s="15"/>
      <c r="E12" s="15"/>
      <c r="F12" s="15"/>
      <c r="G12" s="18">
        <v>4</v>
      </c>
      <c r="H12" s="15"/>
      <c r="I12" s="15"/>
      <c r="J12" t="s" s="16">
        <v>70</v>
      </c>
      <c r="K12" s="17"/>
      <c r="L12" s="17"/>
      <c r="M12" s="17"/>
      <c r="N12" s="17"/>
      <c r="O12" s="17"/>
      <c r="P12" s="17"/>
    </row>
    <row r="13" ht="16" customHeight="1">
      <c r="A13" s="17"/>
      <c r="B13" s="19"/>
      <c r="C13" s="19"/>
      <c r="D13" s="19"/>
      <c r="E13" s="19"/>
      <c r="F13" s="19"/>
      <c r="G13" s="19"/>
      <c r="H13" s="19"/>
      <c r="I13" s="19"/>
      <c r="J13" s="19"/>
      <c r="K13" s="17"/>
      <c r="L13" s="17"/>
      <c r="M13" s="17"/>
      <c r="N13" s="17"/>
      <c r="O13" s="17"/>
      <c r="P13" s="17"/>
    </row>
    <row r="14" ht="16" customHeight="1">
      <c r="A14" s="17"/>
      <c r="B14" s="19"/>
      <c r="C14" s="19"/>
      <c r="D14" s="19"/>
      <c r="E14" s="19"/>
      <c r="F14" s="19"/>
      <c r="G14" s="19"/>
      <c r="H14" s="19"/>
      <c r="I14" s="19"/>
      <c r="J14" s="19"/>
      <c r="K14" s="17"/>
      <c r="L14" s="17"/>
      <c r="M14" s="17"/>
      <c r="N14" s="17"/>
      <c r="O14" s="17"/>
      <c r="P14" s="17"/>
    </row>
    <row r="15" ht="16" customHeight="1">
      <c r="A15" s="20"/>
      <c r="B15" s="21"/>
      <c r="C15" s="21"/>
      <c r="D15" t="s" s="22">
        <v>69</v>
      </c>
      <c r="E15" t="s" s="22">
        <v>71</v>
      </c>
      <c r="F15" t="s" s="22">
        <v>72</v>
      </c>
      <c r="G15" t="s" s="22">
        <v>73</v>
      </c>
      <c r="H15" t="s" s="22">
        <v>74</v>
      </c>
      <c r="I15" t="s" s="22">
        <v>75</v>
      </c>
      <c r="J15" t="s" s="22">
        <v>76</v>
      </c>
      <c r="K15" t="s" s="23">
        <v>77</v>
      </c>
      <c r="L15" t="s" s="23">
        <v>79</v>
      </c>
      <c r="M15" t="s" s="23">
        <v>80</v>
      </c>
      <c r="N15" t="s" s="23">
        <v>81</v>
      </c>
      <c r="O15" s="20"/>
      <c r="P15" s="20"/>
    </row>
    <row r="16" ht="16" customHeight="1">
      <c r="A16" t="s" s="24">
        <v>3</v>
      </c>
      <c r="B16" s="25">
        <v>11</v>
      </c>
      <c r="C16" s="26"/>
      <c r="D16" s="25">
        <v>1</v>
      </c>
      <c r="E16" s="25">
        <v>1</v>
      </c>
      <c r="F16" s="25">
        <v>1</v>
      </c>
      <c r="G16" s="25">
        <v>1</v>
      </c>
      <c r="H16" s="27">
        <v>1</v>
      </c>
      <c r="I16" s="25">
        <v>1</v>
      </c>
      <c r="J16" s="25">
        <v>1</v>
      </c>
      <c r="K16" s="28">
        <v>1</v>
      </c>
      <c r="L16" s="29">
        <v>1</v>
      </c>
      <c r="M16" s="29">
        <v>1</v>
      </c>
      <c r="N16" s="28">
        <v>1</v>
      </c>
      <c r="O16" s="28">
        <f>SUM(D16:N16)</f>
        <v>11</v>
      </c>
      <c r="P16" s="30"/>
    </row>
    <row r="17" ht="16" customHeight="1">
      <c r="A17" t="s" s="14">
        <v>6</v>
      </c>
      <c r="B17" s="18">
        <v>3</v>
      </c>
      <c r="C17" t="s" s="16">
        <v>83</v>
      </c>
      <c r="D17" s="31"/>
      <c r="E17" s="31"/>
      <c r="F17" s="15"/>
      <c r="G17" s="32"/>
      <c r="H17" s="33">
        <v>1</v>
      </c>
      <c r="I17" s="34"/>
      <c r="J17" s="32"/>
      <c r="K17" s="35">
        <v>1</v>
      </c>
      <c r="L17" s="36"/>
      <c r="M17" s="37"/>
      <c r="N17" s="35">
        <v>1</v>
      </c>
      <c r="O17" s="38">
        <f>SUM(D17:N17)</f>
        <v>3</v>
      </c>
      <c r="P17" t="s" s="39">
        <v>84</v>
      </c>
    </row>
    <row r="18" ht="16" customHeight="1">
      <c r="A18" t="s" s="14">
        <v>8</v>
      </c>
      <c r="B18" s="18">
        <v>2</v>
      </c>
      <c r="C18" t="s" s="40">
        <v>85</v>
      </c>
      <c r="D18" s="33">
        <v>1</v>
      </c>
      <c r="E18" s="33">
        <v>1</v>
      </c>
      <c r="F18" s="34"/>
      <c r="G18" s="15"/>
      <c r="H18" s="41"/>
      <c r="I18" s="15"/>
      <c r="J18" s="15"/>
      <c r="K18" s="42"/>
      <c r="L18" s="43"/>
      <c r="M18" s="43"/>
      <c r="N18" s="42"/>
      <c r="O18" s="44">
        <f>SUM(D18:N18)</f>
        <v>2</v>
      </c>
      <c r="P18" t="s" s="45">
        <v>86</v>
      </c>
    </row>
    <row r="19" ht="16" customHeight="1">
      <c r="A19" t="s" s="14">
        <v>10</v>
      </c>
      <c r="B19" s="18">
        <v>2</v>
      </c>
      <c r="C19" t="s" s="16">
        <v>87</v>
      </c>
      <c r="D19" s="46"/>
      <c r="E19" s="46"/>
      <c r="F19" s="15"/>
      <c r="G19" s="15"/>
      <c r="H19" s="15"/>
      <c r="I19" s="15"/>
      <c r="J19" s="15"/>
      <c r="K19" s="37"/>
      <c r="L19" s="35">
        <v>1</v>
      </c>
      <c r="M19" s="35">
        <v>1</v>
      </c>
      <c r="N19" s="36"/>
      <c r="O19" s="47">
        <f>SUM(D19:N19)</f>
        <v>2</v>
      </c>
      <c r="P19" t="s" s="48">
        <v>86</v>
      </c>
    </row>
    <row r="20" ht="16" customHeight="1">
      <c r="A20" t="s" s="14">
        <v>12</v>
      </c>
      <c r="B20" s="18">
        <v>2</v>
      </c>
      <c r="C20" t="s" s="40">
        <v>88</v>
      </c>
      <c r="D20" s="33">
        <v>1</v>
      </c>
      <c r="E20" s="33">
        <v>1</v>
      </c>
      <c r="F20" s="34"/>
      <c r="G20" s="15"/>
      <c r="H20" s="31"/>
      <c r="I20" s="15"/>
      <c r="J20" s="15"/>
      <c r="K20" s="43"/>
      <c r="L20" s="42"/>
      <c r="M20" s="42"/>
      <c r="N20" s="43"/>
      <c r="O20" s="49">
        <f>SUM(D20:N20)</f>
        <v>2</v>
      </c>
      <c r="P20" t="s" s="50">
        <v>89</v>
      </c>
    </row>
    <row r="21" ht="16" customHeight="1">
      <c r="A21" t="s" s="14">
        <v>14</v>
      </c>
      <c r="B21" s="18">
        <v>3</v>
      </c>
      <c r="C21" t="s" s="16">
        <v>90</v>
      </c>
      <c r="D21" s="41"/>
      <c r="E21" s="41"/>
      <c r="F21" s="15"/>
      <c r="G21" s="32"/>
      <c r="H21" s="33">
        <v>1</v>
      </c>
      <c r="I21" s="34"/>
      <c r="J21" s="32"/>
      <c r="K21" s="35">
        <v>1</v>
      </c>
      <c r="L21" s="36"/>
      <c r="M21" s="37"/>
      <c r="N21" s="35">
        <v>1</v>
      </c>
      <c r="O21" s="38">
        <f>SUM(D21:N21)</f>
        <v>3</v>
      </c>
      <c r="P21" t="s" s="39">
        <v>89</v>
      </c>
    </row>
    <row r="22" ht="16" customHeight="1">
      <c r="A22" t="s" s="14">
        <v>16</v>
      </c>
      <c r="B22" s="18">
        <v>1</v>
      </c>
      <c r="C22" t="s" s="16">
        <v>87</v>
      </c>
      <c r="D22" s="15"/>
      <c r="E22" s="15"/>
      <c r="F22" s="15"/>
      <c r="G22" s="15"/>
      <c r="H22" s="41"/>
      <c r="I22" s="15"/>
      <c r="J22" s="15"/>
      <c r="K22" s="51"/>
      <c r="L22" s="52"/>
      <c r="M22" s="37"/>
      <c r="N22" s="35">
        <v>1</v>
      </c>
      <c r="O22" s="53">
        <f>SUM(D22:N22)</f>
        <v>1</v>
      </c>
      <c r="P22" t="s" s="54">
        <v>86</v>
      </c>
    </row>
    <row r="23" ht="16" customHeight="1">
      <c r="A23" t="s" s="14">
        <v>18</v>
      </c>
      <c r="B23" s="18">
        <v>1</v>
      </c>
      <c r="C23" t="s" s="16">
        <v>83</v>
      </c>
      <c r="D23" s="15"/>
      <c r="E23" s="15"/>
      <c r="F23" s="15"/>
      <c r="G23" s="15"/>
      <c r="H23" s="15"/>
      <c r="I23" s="15"/>
      <c r="J23" s="32"/>
      <c r="K23" s="35">
        <v>1</v>
      </c>
      <c r="L23" s="36"/>
      <c r="M23" s="52"/>
      <c r="N23" s="42"/>
      <c r="O23" s="55">
        <f>SUM(D23:N23)</f>
        <v>1</v>
      </c>
      <c r="P23" t="s" s="39">
        <v>84</v>
      </c>
    </row>
    <row r="24" ht="16" customHeight="1">
      <c r="A24" t="s" s="56">
        <v>20</v>
      </c>
      <c r="B24" s="57">
        <v>11</v>
      </c>
      <c r="C24" s="21"/>
      <c r="D24" s="57">
        <v>1</v>
      </c>
      <c r="E24" s="57">
        <v>1</v>
      </c>
      <c r="F24" s="57">
        <v>1</v>
      </c>
      <c r="G24" s="57">
        <v>1</v>
      </c>
      <c r="H24" s="57">
        <v>1</v>
      </c>
      <c r="I24" s="57">
        <v>1</v>
      </c>
      <c r="J24" s="57">
        <v>1</v>
      </c>
      <c r="K24" s="58">
        <v>1</v>
      </c>
      <c r="L24" s="59">
        <v>1</v>
      </c>
      <c r="M24" s="59">
        <v>1</v>
      </c>
      <c r="N24" s="59">
        <v>1</v>
      </c>
      <c r="O24" s="59">
        <f>SUM(D24:N24)</f>
        <v>11</v>
      </c>
      <c r="P24" s="60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G52"/>
  <sheetViews>
    <sheetView workbookViewId="0" showGridLines="0" defaultGridColor="1"/>
  </sheetViews>
  <sheetFormatPr defaultColWidth="8.83333" defaultRowHeight="15" customHeight="1" outlineLevelRow="0" outlineLevelCol="0"/>
  <cols>
    <col min="1" max="1" width="8.85156" style="61" customWidth="1"/>
    <col min="2" max="2" width="51.8516" style="61" customWidth="1"/>
    <col min="3" max="3" width="20.3516" style="61" customWidth="1"/>
    <col min="4" max="4" width="17.1719" style="61" customWidth="1"/>
    <col min="5" max="5" width="8.85156" style="61" customWidth="1"/>
    <col min="6" max="6" width="9.35156" style="61" customWidth="1"/>
    <col min="7" max="7" width="8.85156" style="61" customWidth="1"/>
    <col min="8" max="256" width="8.85156" style="61" customWidth="1"/>
  </cols>
  <sheetData>
    <row r="1" ht="40.5" customHeight="1">
      <c r="A1" t="s" s="62">
        <v>91</v>
      </c>
      <c r="B1" t="s" s="63">
        <v>92</v>
      </c>
      <c r="C1" t="s" s="63">
        <v>93</v>
      </c>
      <c r="D1" t="s" s="63">
        <v>94</v>
      </c>
      <c r="E1" t="s" s="63">
        <v>95</v>
      </c>
      <c r="F1" t="s" s="64">
        <v>96</v>
      </c>
      <c r="G1" s="65"/>
    </row>
    <row r="2" ht="16" customHeight="1">
      <c r="A2" s="66">
        <v>1</v>
      </c>
      <c r="B2" t="s" s="67">
        <v>69</v>
      </c>
      <c r="C2" s="68"/>
      <c r="D2" s="68"/>
      <c r="E2" s="68"/>
      <c r="F2" s="68"/>
      <c r="G2" s="69"/>
    </row>
    <row r="3" ht="198" customHeight="1">
      <c r="A3" s="70">
        <v>2</v>
      </c>
      <c r="B3" t="s" s="72">
        <v>97</v>
      </c>
      <c r="C3" t="s" s="73">
        <v>3</v>
      </c>
      <c r="D3" t="s" s="73">
        <v>2</v>
      </c>
      <c r="E3" t="s" s="73">
        <v>4</v>
      </c>
      <c r="F3" s="70">
        <v>1</v>
      </c>
      <c r="G3" s="69"/>
    </row>
    <row r="4" ht="16" customHeight="1">
      <c r="A4" s="70">
        <v>3</v>
      </c>
      <c r="B4" t="s" s="71">
        <v>7</v>
      </c>
      <c r="C4" t="s" s="73">
        <v>8</v>
      </c>
      <c r="D4" t="s" s="73">
        <v>2</v>
      </c>
      <c r="E4" t="s" s="73">
        <v>4</v>
      </c>
      <c r="F4" s="70">
        <v>1</v>
      </c>
      <c r="G4" s="69"/>
    </row>
    <row r="5" ht="16" customHeight="1">
      <c r="A5" s="70">
        <v>4</v>
      </c>
      <c r="B5" t="s" s="71">
        <v>11</v>
      </c>
      <c r="C5" t="s" s="73">
        <v>12</v>
      </c>
      <c r="D5" t="s" s="73">
        <v>2</v>
      </c>
      <c r="E5" t="s" s="73">
        <v>4</v>
      </c>
      <c r="F5" s="70">
        <v>1</v>
      </c>
      <c r="G5" s="69"/>
    </row>
    <row r="6" ht="16" customHeight="1">
      <c r="A6" s="70">
        <v>5</v>
      </c>
      <c r="B6" t="s" s="71">
        <v>19</v>
      </c>
      <c r="C6" t="s" s="73">
        <v>20</v>
      </c>
      <c r="D6" t="s" s="73">
        <v>2</v>
      </c>
      <c r="E6" t="s" s="73">
        <v>4</v>
      </c>
      <c r="F6" s="70">
        <v>1</v>
      </c>
      <c r="G6" s="69"/>
    </row>
    <row r="7" ht="16" customHeight="1">
      <c r="A7" s="70">
        <v>6</v>
      </c>
      <c r="B7" t="s" s="71">
        <v>21</v>
      </c>
      <c r="C7" t="s" s="73">
        <v>23</v>
      </c>
      <c r="D7" t="s" s="73">
        <v>98</v>
      </c>
      <c r="E7" t="s" s="73">
        <v>4</v>
      </c>
      <c r="F7" s="70">
        <v>1</v>
      </c>
      <c r="G7" s="69"/>
    </row>
    <row r="8" ht="16" customHeight="1">
      <c r="A8" s="66">
        <v>7</v>
      </c>
      <c r="B8" t="s" s="67">
        <v>71</v>
      </c>
      <c r="C8" s="68"/>
      <c r="D8" s="68"/>
      <c r="E8" s="68"/>
      <c r="F8" s="68"/>
      <c r="G8" s="69"/>
    </row>
    <row r="9" ht="198" customHeight="1">
      <c r="A9" s="70">
        <v>8</v>
      </c>
      <c r="B9" t="s" s="72">
        <v>97</v>
      </c>
      <c r="C9" t="s" s="73">
        <v>3</v>
      </c>
      <c r="D9" t="s" s="73">
        <v>2</v>
      </c>
      <c r="E9" t="s" s="73">
        <v>4</v>
      </c>
      <c r="F9" s="70">
        <v>1</v>
      </c>
      <c r="G9" s="69"/>
    </row>
    <row r="10" ht="16" customHeight="1">
      <c r="A10" s="70">
        <v>9</v>
      </c>
      <c r="B10" t="s" s="71">
        <v>7</v>
      </c>
      <c r="C10" t="s" s="73">
        <v>8</v>
      </c>
      <c r="D10" t="s" s="73">
        <v>2</v>
      </c>
      <c r="E10" t="s" s="73">
        <v>4</v>
      </c>
      <c r="F10" s="70">
        <v>1</v>
      </c>
      <c r="G10" s="69"/>
    </row>
    <row r="11" ht="16" customHeight="1">
      <c r="A11" s="70">
        <v>10</v>
      </c>
      <c r="B11" t="s" s="71">
        <v>11</v>
      </c>
      <c r="C11" t="s" s="73">
        <v>12</v>
      </c>
      <c r="D11" t="s" s="73">
        <v>2</v>
      </c>
      <c r="E11" t="s" s="73">
        <v>4</v>
      </c>
      <c r="F11" s="70">
        <v>1</v>
      </c>
      <c r="G11" s="69"/>
    </row>
    <row r="12" ht="16" customHeight="1">
      <c r="A12" s="70">
        <v>11</v>
      </c>
      <c r="B12" t="s" s="71">
        <v>19</v>
      </c>
      <c r="C12" t="s" s="73">
        <v>20</v>
      </c>
      <c r="D12" t="s" s="73">
        <v>2</v>
      </c>
      <c r="E12" t="s" s="73">
        <v>4</v>
      </c>
      <c r="F12" s="70">
        <v>1</v>
      </c>
      <c r="G12" s="69"/>
    </row>
    <row r="13" ht="16" customHeight="1">
      <c r="A13" s="70">
        <v>12</v>
      </c>
      <c r="B13" t="s" s="71">
        <v>21</v>
      </c>
      <c r="C13" t="s" s="73">
        <v>23</v>
      </c>
      <c r="D13" t="s" s="73">
        <v>98</v>
      </c>
      <c r="E13" t="s" s="73">
        <v>4</v>
      </c>
      <c r="F13" s="70">
        <v>1</v>
      </c>
      <c r="G13" s="69"/>
    </row>
    <row r="14" ht="16" customHeight="1">
      <c r="A14" s="66">
        <v>13</v>
      </c>
      <c r="B14" t="s" s="67">
        <v>72</v>
      </c>
      <c r="C14" s="68"/>
      <c r="D14" s="68"/>
      <c r="E14" s="68"/>
      <c r="F14" s="68"/>
      <c r="G14" s="69"/>
    </row>
    <row r="15" ht="16" customHeight="1">
      <c r="A15" s="70">
        <v>14</v>
      </c>
      <c r="B15" t="s" s="71">
        <v>21</v>
      </c>
      <c r="C15" t="s" s="73">
        <v>23</v>
      </c>
      <c r="D15" t="s" s="73">
        <v>98</v>
      </c>
      <c r="E15" t="s" s="73">
        <v>4</v>
      </c>
      <c r="F15" s="70">
        <v>1</v>
      </c>
      <c r="G15" s="69"/>
    </row>
    <row r="16" ht="16" customHeight="1">
      <c r="A16" s="66">
        <v>15</v>
      </c>
      <c r="B16" t="s" s="67">
        <v>73</v>
      </c>
      <c r="C16" s="68"/>
      <c r="D16" s="68"/>
      <c r="E16" s="68"/>
      <c r="F16" s="68"/>
      <c r="G16" s="69"/>
    </row>
    <row r="17" ht="16" customHeight="1">
      <c r="A17" s="74">
        <v>16</v>
      </c>
      <c r="B17" t="s" s="71">
        <v>21</v>
      </c>
      <c r="C17" t="s" s="75">
        <v>23</v>
      </c>
      <c r="D17" t="s" s="75">
        <v>98</v>
      </c>
      <c r="E17" t="s" s="75">
        <v>4</v>
      </c>
      <c r="F17" s="74">
        <v>1</v>
      </c>
      <c r="G17" s="69"/>
    </row>
    <row r="18" ht="16" customHeight="1">
      <c r="A18" s="76">
        <v>17</v>
      </c>
      <c r="B18" t="s" s="67">
        <v>74</v>
      </c>
      <c r="C18" s="77"/>
      <c r="D18" s="77"/>
      <c r="E18" s="68"/>
      <c r="F18" s="77"/>
      <c r="G18" s="69"/>
    </row>
    <row r="19" ht="198" customHeight="1">
      <c r="A19" s="74">
        <v>18</v>
      </c>
      <c r="B19" t="s" s="72">
        <v>97</v>
      </c>
      <c r="C19" t="s" s="75">
        <v>3</v>
      </c>
      <c r="D19" t="s" s="75">
        <v>2</v>
      </c>
      <c r="E19" t="s" s="75">
        <v>4</v>
      </c>
      <c r="F19" s="74">
        <v>1</v>
      </c>
      <c r="G19" s="69"/>
    </row>
    <row r="20" ht="16" customHeight="1">
      <c r="A20" s="74">
        <v>19</v>
      </c>
      <c r="B20" t="s" s="71">
        <v>5</v>
      </c>
      <c r="C20" t="s" s="75">
        <v>6</v>
      </c>
      <c r="D20" t="s" s="75">
        <v>2</v>
      </c>
      <c r="E20" t="s" s="75">
        <v>4</v>
      </c>
      <c r="F20" s="74">
        <v>1</v>
      </c>
      <c r="G20" s="69"/>
    </row>
    <row r="21" ht="16" customHeight="1">
      <c r="A21" s="74">
        <v>20</v>
      </c>
      <c r="B21" t="s" s="71">
        <v>13</v>
      </c>
      <c r="C21" t="s" s="75">
        <v>14</v>
      </c>
      <c r="D21" t="s" s="75">
        <v>2</v>
      </c>
      <c r="E21" t="s" s="75">
        <v>4</v>
      </c>
      <c r="F21" s="74">
        <v>1</v>
      </c>
      <c r="G21" s="69"/>
    </row>
    <row r="22" ht="16" customHeight="1">
      <c r="A22" s="74">
        <v>21</v>
      </c>
      <c r="B22" t="s" s="71">
        <v>19</v>
      </c>
      <c r="C22" t="s" s="75">
        <v>20</v>
      </c>
      <c r="D22" t="s" s="75">
        <v>2</v>
      </c>
      <c r="E22" t="s" s="75">
        <v>4</v>
      </c>
      <c r="F22" s="74">
        <v>1</v>
      </c>
      <c r="G22" s="69"/>
    </row>
    <row r="23" ht="16" customHeight="1">
      <c r="A23" s="74">
        <v>22</v>
      </c>
      <c r="B23" t="s" s="71">
        <v>21</v>
      </c>
      <c r="C23" t="s" s="75">
        <v>23</v>
      </c>
      <c r="D23" t="s" s="75">
        <v>98</v>
      </c>
      <c r="E23" t="s" s="75">
        <v>4</v>
      </c>
      <c r="F23" s="74">
        <v>1</v>
      </c>
      <c r="G23" s="69"/>
    </row>
    <row r="24" ht="16" customHeight="1">
      <c r="A24" s="76">
        <v>23</v>
      </c>
      <c r="B24" t="s" s="67">
        <v>75</v>
      </c>
      <c r="C24" s="77"/>
      <c r="D24" s="77"/>
      <c r="E24" s="68"/>
      <c r="F24" s="77"/>
      <c r="G24" s="69"/>
    </row>
    <row r="25" ht="16" customHeight="1">
      <c r="A25" s="74">
        <v>24</v>
      </c>
      <c r="B25" t="s" s="71">
        <v>21</v>
      </c>
      <c r="C25" t="s" s="75">
        <v>23</v>
      </c>
      <c r="D25" t="s" s="75">
        <v>98</v>
      </c>
      <c r="E25" t="s" s="75">
        <v>4</v>
      </c>
      <c r="F25" s="74">
        <v>1</v>
      </c>
      <c r="G25" s="69"/>
    </row>
    <row r="26" ht="16" customHeight="1">
      <c r="A26" s="76">
        <v>25</v>
      </c>
      <c r="B26" t="s" s="67">
        <v>76</v>
      </c>
      <c r="C26" s="77"/>
      <c r="D26" s="77"/>
      <c r="E26" s="68"/>
      <c r="F26" s="77"/>
      <c r="G26" s="69"/>
    </row>
    <row r="27" ht="16" customHeight="1">
      <c r="A27" s="74">
        <v>26</v>
      </c>
      <c r="B27" t="s" s="71">
        <v>21</v>
      </c>
      <c r="C27" t="s" s="75">
        <v>23</v>
      </c>
      <c r="D27" t="s" s="75">
        <v>98</v>
      </c>
      <c r="E27" t="s" s="75">
        <v>4</v>
      </c>
      <c r="F27" s="74">
        <v>1</v>
      </c>
      <c r="G27" s="69"/>
    </row>
    <row r="28" ht="16" customHeight="1">
      <c r="A28" s="76">
        <v>27</v>
      </c>
      <c r="B28" t="s" s="67">
        <v>77</v>
      </c>
      <c r="C28" s="77"/>
      <c r="D28" s="77"/>
      <c r="E28" s="68"/>
      <c r="F28" s="77"/>
      <c r="G28" s="69"/>
    </row>
    <row r="29" ht="198" customHeight="1">
      <c r="A29" s="74">
        <v>28</v>
      </c>
      <c r="B29" t="s" s="72">
        <v>97</v>
      </c>
      <c r="C29" t="s" s="75">
        <v>3</v>
      </c>
      <c r="D29" t="s" s="75">
        <v>2</v>
      </c>
      <c r="E29" t="s" s="75">
        <v>4</v>
      </c>
      <c r="F29" s="74">
        <v>1</v>
      </c>
      <c r="G29" s="69"/>
    </row>
    <row r="30" ht="16" customHeight="1">
      <c r="A30" s="74">
        <v>29</v>
      </c>
      <c r="B30" t="s" s="71">
        <v>5</v>
      </c>
      <c r="C30" t="s" s="75">
        <v>6</v>
      </c>
      <c r="D30" t="s" s="75">
        <v>2</v>
      </c>
      <c r="E30" t="s" s="75">
        <v>4</v>
      </c>
      <c r="F30" s="74">
        <v>1</v>
      </c>
      <c r="G30" s="69"/>
    </row>
    <row r="31" ht="16" customHeight="1">
      <c r="A31" s="74">
        <v>30</v>
      </c>
      <c r="B31" t="s" s="71">
        <v>13</v>
      </c>
      <c r="C31" t="s" s="75">
        <v>14</v>
      </c>
      <c r="D31" t="s" s="75">
        <v>2</v>
      </c>
      <c r="E31" t="s" s="75">
        <v>4</v>
      </c>
      <c r="F31" s="74">
        <v>1</v>
      </c>
      <c r="G31" s="69"/>
    </row>
    <row r="32" ht="16" customHeight="1">
      <c r="A32" s="74">
        <v>31</v>
      </c>
      <c r="B32" t="s" s="71">
        <v>17</v>
      </c>
      <c r="C32" t="s" s="75">
        <v>18</v>
      </c>
      <c r="D32" t="s" s="75">
        <v>2</v>
      </c>
      <c r="E32" t="s" s="75">
        <v>4</v>
      </c>
      <c r="F32" s="74">
        <v>1</v>
      </c>
      <c r="G32" s="69"/>
    </row>
    <row r="33" ht="16" customHeight="1">
      <c r="A33" s="74">
        <v>32</v>
      </c>
      <c r="B33" t="s" s="71">
        <v>19</v>
      </c>
      <c r="C33" t="s" s="75">
        <v>20</v>
      </c>
      <c r="D33" t="s" s="75">
        <v>2</v>
      </c>
      <c r="E33" t="s" s="75">
        <v>4</v>
      </c>
      <c r="F33" s="74">
        <v>1</v>
      </c>
      <c r="G33" s="69"/>
    </row>
    <row r="34" ht="16" customHeight="1">
      <c r="A34" s="74">
        <v>33</v>
      </c>
      <c r="B34" t="s" s="71">
        <v>21</v>
      </c>
      <c r="C34" t="s" s="75">
        <v>23</v>
      </c>
      <c r="D34" t="s" s="75">
        <v>98</v>
      </c>
      <c r="E34" t="s" s="75">
        <v>4</v>
      </c>
      <c r="F34" s="74">
        <v>1</v>
      </c>
      <c r="G34" s="69"/>
    </row>
    <row r="35" ht="16" customHeight="1">
      <c r="A35" s="76">
        <v>34</v>
      </c>
      <c r="B35" t="s" s="67">
        <v>79</v>
      </c>
      <c r="C35" s="77"/>
      <c r="D35" s="77"/>
      <c r="E35" s="68"/>
      <c r="F35" s="77"/>
      <c r="G35" s="69"/>
    </row>
    <row r="36" ht="198" customHeight="1">
      <c r="A36" s="74">
        <v>35</v>
      </c>
      <c r="B36" t="s" s="72">
        <v>97</v>
      </c>
      <c r="C36" t="s" s="75">
        <v>3</v>
      </c>
      <c r="D36" t="s" s="75">
        <v>2</v>
      </c>
      <c r="E36" t="s" s="75">
        <v>4</v>
      </c>
      <c r="F36" s="74">
        <v>1</v>
      </c>
      <c r="G36" s="69"/>
    </row>
    <row r="37" ht="16" customHeight="1">
      <c r="A37" s="74">
        <v>36</v>
      </c>
      <c r="B37" t="s" s="71">
        <v>9</v>
      </c>
      <c r="C37" t="s" s="75">
        <v>10</v>
      </c>
      <c r="D37" t="s" s="75">
        <v>2</v>
      </c>
      <c r="E37" t="s" s="75">
        <v>4</v>
      </c>
      <c r="F37" s="74">
        <v>1</v>
      </c>
      <c r="G37" s="69"/>
    </row>
    <row r="38" ht="16" customHeight="1">
      <c r="A38" s="74">
        <v>37</v>
      </c>
      <c r="B38" t="s" s="71">
        <v>19</v>
      </c>
      <c r="C38" t="s" s="75">
        <v>20</v>
      </c>
      <c r="D38" t="s" s="75">
        <v>2</v>
      </c>
      <c r="E38" t="s" s="75">
        <v>4</v>
      </c>
      <c r="F38" s="74">
        <v>1</v>
      </c>
      <c r="G38" s="69"/>
    </row>
    <row r="39" ht="16" customHeight="1">
      <c r="A39" s="74">
        <v>38</v>
      </c>
      <c r="B39" t="s" s="71">
        <v>21</v>
      </c>
      <c r="C39" t="s" s="75">
        <v>23</v>
      </c>
      <c r="D39" t="s" s="75">
        <v>98</v>
      </c>
      <c r="E39" t="s" s="75">
        <v>4</v>
      </c>
      <c r="F39" s="74">
        <v>1</v>
      </c>
      <c r="G39" s="69"/>
    </row>
    <row r="40" ht="16" customHeight="1">
      <c r="A40" s="76">
        <v>39</v>
      </c>
      <c r="B40" t="s" s="67">
        <v>80</v>
      </c>
      <c r="C40" s="77"/>
      <c r="D40" s="77"/>
      <c r="E40" s="68"/>
      <c r="F40" s="77"/>
      <c r="G40" s="69"/>
    </row>
    <row r="41" ht="198" customHeight="1">
      <c r="A41" s="74">
        <v>40</v>
      </c>
      <c r="B41" t="s" s="72">
        <v>97</v>
      </c>
      <c r="C41" t="s" s="75">
        <v>3</v>
      </c>
      <c r="D41" t="s" s="75">
        <v>2</v>
      </c>
      <c r="E41" t="s" s="75">
        <v>4</v>
      </c>
      <c r="F41" s="74">
        <v>1</v>
      </c>
      <c r="G41" s="69"/>
    </row>
    <row r="42" ht="16" customHeight="1">
      <c r="A42" s="74">
        <v>41</v>
      </c>
      <c r="B42" t="s" s="71">
        <v>9</v>
      </c>
      <c r="C42" t="s" s="75">
        <v>10</v>
      </c>
      <c r="D42" t="s" s="75">
        <v>2</v>
      </c>
      <c r="E42" t="s" s="75">
        <v>4</v>
      </c>
      <c r="F42" s="74">
        <v>1</v>
      </c>
      <c r="G42" s="69"/>
    </row>
    <row r="43" ht="16" customHeight="1">
      <c r="A43" s="74">
        <v>42</v>
      </c>
      <c r="B43" t="s" s="71">
        <v>19</v>
      </c>
      <c r="C43" t="s" s="75">
        <v>20</v>
      </c>
      <c r="D43" t="s" s="75">
        <v>2</v>
      </c>
      <c r="E43" t="s" s="75">
        <v>4</v>
      </c>
      <c r="F43" s="74">
        <v>1</v>
      </c>
      <c r="G43" s="69"/>
    </row>
    <row r="44" ht="16" customHeight="1">
      <c r="A44" s="74">
        <v>43</v>
      </c>
      <c r="B44" t="s" s="71">
        <v>21</v>
      </c>
      <c r="C44" t="s" s="75">
        <v>23</v>
      </c>
      <c r="D44" t="s" s="75">
        <v>98</v>
      </c>
      <c r="E44" t="s" s="75">
        <v>4</v>
      </c>
      <c r="F44" s="74">
        <v>1</v>
      </c>
      <c r="G44" s="69"/>
    </row>
    <row r="45" ht="16" customHeight="1">
      <c r="A45" s="76">
        <v>44</v>
      </c>
      <c r="B45" t="s" s="67">
        <v>81</v>
      </c>
      <c r="C45" s="77"/>
      <c r="D45" s="77"/>
      <c r="E45" s="68"/>
      <c r="F45" s="77"/>
      <c r="G45" s="69"/>
    </row>
    <row r="46" ht="198" customHeight="1">
      <c r="A46" s="74">
        <v>45</v>
      </c>
      <c r="B46" t="s" s="72">
        <v>97</v>
      </c>
      <c r="C46" t="s" s="75">
        <v>3</v>
      </c>
      <c r="D46" t="s" s="75">
        <v>2</v>
      </c>
      <c r="E46" t="s" s="75">
        <v>4</v>
      </c>
      <c r="F46" s="74">
        <v>1</v>
      </c>
      <c r="G46" s="69"/>
    </row>
    <row r="47" ht="16" customHeight="1">
      <c r="A47" s="74">
        <v>46</v>
      </c>
      <c r="B47" t="s" s="71">
        <v>5</v>
      </c>
      <c r="C47" t="s" s="75">
        <v>6</v>
      </c>
      <c r="D47" t="s" s="75">
        <v>2</v>
      </c>
      <c r="E47" t="s" s="75">
        <v>4</v>
      </c>
      <c r="F47" s="74">
        <v>1</v>
      </c>
      <c r="G47" s="69"/>
    </row>
    <row r="48" ht="16" customHeight="1">
      <c r="A48" s="74">
        <v>47</v>
      </c>
      <c r="B48" t="s" s="71">
        <v>13</v>
      </c>
      <c r="C48" t="s" s="75">
        <v>14</v>
      </c>
      <c r="D48" t="s" s="75">
        <v>2</v>
      </c>
      <c r="E48" t="s" s="75">
        <v>4</v>
      </c>
      <c r="F48" s="74">
        <v>1</v>
      </c>
      <c r="G48" s="69"/>
    </row>
    <row r="49" ht="16" customHeight="1">
      <c r="A49" s="74">
        <v>48</v>
      </c>
      <c r="B49" t="s" s="71">
        <v>15</v>
      </c>
      <c r="C49" t="s" s="75">
        <v>16</v>
      </c>
      <c r="D49" t="s" s="75">
        <v>2</v>
      </c>
      <c r="E49" t="s" s="75">
        <v>4</v>
      </c>
      <c r="F49" s="74">
        <v>1</v>
      </c>
      <c r="G49" s="69"/>
    </row>
    <row r="50" ht="16" customHeight="1">
      <c r="A50" s="74">
        <v>49</v>
      </c>
      <c r="B50" t="s" s="71">
        <v>19</v>
      </c>
      <c r="C50" t="s" s="75">
        <v>20</v>
      </c>
      <c r="D50" t="s" s="75">
        <v>2</v>
      </c>
      <c r="E50" t="s" s="75">
        <v>4</v>
      </c>
      <c r="F50" s="74">
        <v>1</v>
      </c>
      <c r="G50" s="69"/>
    </row>
    <row r="51" ht="16" customHeight="1">
      <c r="A51" s="74">
        <v>50</v>
      </c>
      <c r="B51" t="s" s="71">
        <v>21</v>
      </c>
      <c r="C51" t="s" s="75">
        <v>23</v>
      </c>
      <c r="D51" t="s" s="75">
        <v>98</v>
      </c>
      <c r="E51" t="s" s="75">
        <v>4</v>
      </c>
      <c r="F51" s="74">
        <v>1</v>
      </c>
      <c r="G51" s="69"/>
    </row>
    <row r="52" ht="16" customHeight="1">
      <c r="A52" s="78"/>
      <c r="B52" s="78"/>
      <c r="C52" s="78"/>
      <c r="D52" s="78"/>
      <c r="E52" s="78"/>
      <c r="F52" s="78"/>
      <c r="G52" s="17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12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5.4" customHeight="1" outlineLevelRow="0" outlineLevelCol="0"/>
  <cols>
    <col min="1" max="1" width="16.3516" style="79" customWidth="1"/>
    <col min="2" max="2" width="79.5" style="79" customWidth="1"/>
    <col min="3" max="6" width="16.3516" style="79" customWidth="1"/>
    <col min="7" max="256" width="16.3516" style="79" customWidth="1"/>
  </cols>
  <sheetData>
    <row r="1" ht="17" customHeight="1">
      <c r="A1" t="s" s="2">
        <v>0</v>
      </c>
      <c r="B1" s="2"/>
      <c r="C1" s="2"/>
      <c r="D1" s="2"/>
      <c r="E1" s="2"/>
      <c r="F1" s="2"/>
    </row>
    <row r="2" ht="15.55" customHeight="1">
      <c r="A2" s="80"/>
      <c r="B2" s="80"/>
      <c r="C2" s="80"/>
      <c r="D2" s="80"/>
      <c r="E2" s="80"/>
      <c r="F2" s="80"/>
    </row>
    <row r="3" ht="15.85" customHeight="1">
      <c r="A3" s="81"/>
      <c r="B3" s="82"/>
      <c r="C3" s="83"/>
      <c r="D3" s="84"/>
      <c r="E3" s="84"/>
      <c r="F3" s="84"/>
    </row>
    <row r="4" ht="16" customHeight="1">
      <c r="A4" s="4"/>
      <c r="B4" t="s" s="85">
        <v>5</v>
      </c>
      <c r="C4" t="s" s="86">
        <v>84</v>
      </c>
      <c r="D4" s="8">
        <v>3</v>
      </c>
      <c r="E4" s="87">
        <v>13426</v>
      </c>
      <c r="F4" s="87">
        <f>E4*D4</f>
        <v>40278</v>
      </c>
    </row>
    <row r="5" ht="15.65" customHeight="1">
      <c r="A5" s="4"/>
      <c r="B5" t="s" s="6">
        <v>7</v>
      </c>
      <c r="C5" t="s" s="88">
        <v>86</v>
      </c>
      <c r="D5" s="8">
        <v>2</v>
      </c>
      <c r="E5" s="87">
        <v>14676</v>
      </c>
      <c r="F5" s="87">
        <f>E5*D5</f>
        <v>29352</v>
      </c>
    </row>
    <row r="6" ht="15.35" customHeight="1">
      <c r="A6" s="4"/>
      <c r="B6" t="s" s="6">
        <v>9</v>
      </c>
      <c r="C6" t="s" s="89">
        <v>86</v>
      </c>
      <c r="D6" s="8">
        <v>2</v>
      </c>
      <c r="E6" s="87">
        <v>14676</v>
      </c>
      <c r="F6" s="87">
        <f>E6*D6</f>
        <v>29352</v>
      </c>
    </row>
    <row r="7" ht="15.65" customHeight="1">
      <c r="A7" s="4"/>
      <c r="B7" t="s" s="6">
        <v>11</v>
      </c>
      <c r="C7" t="s" s="90">
        <v>89</v>
      </c>
      <c r="D7" s="8">
        <v>2</v>
      </c>
      <c r="E7" s="87">
        <v>27326</v>
      </c>
      <c r="F7" s="87">
        <f>E7*D7</f>
        <v>54652</v>
      </c>
    </row>
    <row r="8" ht="16" customHeight="1">
      <c r="A8" s="4"/>
      <c r="B8" t="s" s="85">
        <v>13</v>
      </c>
      <c r="C8" t="s" s="86">
        <v>89</v>
      </c>
      <c r="D8" s="8">
        <v>3</v>
      </c>
      <c r="E8" s="87">
        <v>27326</v>
      </c>
      <c r="F8" s="87">
        <f>E8*D8</f>
        <v>81978</v>
      </c>
    </row>
    <row r="9" ht="16" customHeight="1">
      <c r="A9" s="4"/>
      <c r="B9" t="s" s="6">
        <v>15</v>
      </c>
      <c r="C9" t="s" s="91">
        <v>86</v>
      </c>
      <c r="D9" s="8">
        <v>1</v>
      </c>
      <c r="E9" s="87">
        <v>14676</v>
      </c>
      <c r="F9" s="87">
        <f>E9*D9</f>
        <v>14676</v>
      </c>
    </row>
    <row r="10" ht="16" customHeight="1">
      <c r="A10" s="4"/>
      <c r="B10" t="s" s="85">
        <v>17</v>
      </c>
      <c r="C10" t="s" s="86">
        <v>84</v>
      </c>
      <c r="D10" s="8">
        <v>1</v>
      </c>
      <c r="E10" s="87">
        <v>13426</v>
      </c>
      <c r="F10" s="87">
        <f>E10*D10</f>
        <v>13426</v>
      </c>
    </row>
    <row r="11" ht="15.65" customHeight="1">
      <c r="A11" s="92"/>
      <c r="B11" s="93"/>
      <c r="C11" s="94"/>
      <c r="D11" s="5"/>
      <c r="E11" s="5"/>
      <c r="F11" s="5"/>
    </row>
    <row r="12" ht="15.35" customHeight="1">
      <c r="A12" s="92"/>
      <c r="B12" s="93"/>
      <c r="C12" s="5"/>
      <c r="D12" s="5"/>
      <c r="E12" s="5"/>
      <c r="F12" s="8">
        <f>SUM(F4:F10)</f>
        <v>263714</v>
      </c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